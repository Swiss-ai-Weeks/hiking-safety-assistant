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etitor Matrix" sheetId="2" state="visible" r:id="rId4"/>
    <sheet name="Competitor Profi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<sst xmlns="http://schemas.openxmlformats.org/spreadsheetml/2006/main" count="403" uniqueCount="173">
  <si>
    <t xml:space="preserve">Hiking Safety Assistant — Competitor Coverage Matrix</t>
  </si>
  <si>
    <t xml:space="preserve">How the market covers our requirements, and where the white space is</t>
  </si>
  <si>
    <t xml:space="preserve">Purpose</t>
  </si>
  <si>
    <t xml:space="preserve">Score every product against our defined requirements (FR / DR / AR / NFR / SR) to show what the top competitors have, what they don't, and which requirements are unserved market white space.</t>
  </si>
  <si>
    <t xml:space="preserve">Competitors assessed</t>
  </si>
  <si>
    <t xml:space="preserve">HiiKER / TrailGPT · AllTrails Peak · Swiss Official Stack (swisstopo + SwitzerlandMobility + MeteoSwiss) · meteoblue · Komoot · TrailWise · Garmin (inReach + Connect + watches). See the 'Competitor Matrix' and 'Competitor Profiles' tabs. Garmin is an adjacent hardware/satellite ecosystem, included because it exposes an off-grid comms + SOS gap in our own requirements.</t>
  </si>
  <si>
    <t xml:space="preserve">Headline finding</t>
  </si>
  <si>
    <t xml:space="preserve">No single product reaches ~90% of these requirements. The data + weather + route halves are well served; the risk-fusion, groundedness/provenance, and fail-safe safety layers are white space — which is exactly the layer this project builds.</t>
  </si>
  <si>
    <t xml:space="preserve">RATING LEGEND</t>
  </si>
  <si>
    <t xml:space="preserve">Full</t>
  </si>
  <si>
    <t xml:space="preserve">Requirement is substantially met by the product today.</t>
  </si>
  <si>
    <t xml:space="preserve">Partial</t>
  </si>
  <si>
    <t xml:space="preserve">Partially met — present but shallow, indirect, or not route-/Swiss-specific.</t>
  </si>
  <si>
    <t xml:space="preserve">None</t>
  </si>
  <si>
    <t xml:space="preserve">Not met.</t>
  </si>
  <si>
    <t xml:space="preserve">N/A</t>
  </si>
  <si>
    <t xml:space="preserve">Internal build choice (RAG/MCP/observability/privacy) — not observable in a closed product.</t>
  </si>
  <si>
    <t xml:space="preserve">Coverage %</t>
  </si>
  <si>
    <t xml:space="preserve">Computed as (Full + 0.5 × Partial) ÷ (scorable requirements). N/A rows are excluded from the denominator.</t>
  </si>
  <si>
    <t xml:space="preserve">Sources</t>
  </si>
  <si>
    <t xml:space="preserve">Vendor sites and current (2025–2026) app-store listings and review coverage for HiiKER/TrailGPT, AllTrails Peak, swisstopo, SwitzerlandMobility, MeteoSwiss, meteoblue, Komoot, TrailWise. Ratings are analyst judgment on observable capability and are directional, not a certification.</t>
  </si>
  <si>
    <t xml:space="preserve">Prepared</t>
  </si>
  <si>
    <t xml:space="preserve">September 2026</t>
  </si>
  <si>
    <t xml:space="preserve">Requirement Coverage by Competitor   (Full / Partial / None / N/A)</t>
  </si>
  <si>
    <t xml:space="preserve">ID</t>
  </si>
  <si>
    <t xml:space="preserve">Requirement</t>
  </si>
  <si>
    <t xml:space="preserve">HiiKER /
TrailGPT</t>
  </si>
  <si>
    <t xml:space="preserve">AllTrails
Peak</t>
  </si>
  <si>
    <t xml:space="preserve">Swiss Official Stack
(swisstopo · SwitzerlandMobility · MeteoSwiss)</t>
  </si>
  <si>
    <t xml:space="preserve">meteoblue</t>
  </si>
  <si>
    <t xml:space="preserve">Komoot</t>
  </si>
  <si>
    <t xml:space="preserve">TrailWise</t>
  </si>
  <si>
    <t xml:space="preserve">Garmin
(inReach · Connect · watches)</t>
  </si>
  <si>
    <t xml:space="preserve">Market gap / note</t>
  </si>
  <si>
    <t xml:space="preserve">ROUTE INTELLIGENCE</t>
  </si>
  <si>
    <t xml:space="preserve">FR-1</t>
  </si>
  <si>
    <t xml:space="preserve">Resolve a hike (name / points / GPX / region) to a concrete route with terrain attributes</t>
  </si>
  <si>
    <t xml:space="preserve">Well served by route planners; not the differentiator.</t>
  </si>
  <si>
    <t xml:space="preserve">FR-2</t>
  </si>
  <si>
    <t xml:space="preserve">Surface safety-relevant route characteristics: exposure, technical sections, huts, water, bail-out points</t>
  </si>
  <si>
    <t xml:space="preserve">Swiss stack strongest (official layers, SAC huts, closures); others thin on bail-out/exposure.</t>
  </si>
  <si>
    <t xml:space="preserve">FR-3</t>
  </si>
  <si>
    <t xml:space="preserve">Support the official Swiss hiking scale (T1–T6)</t>
  </si>
  <si>
    <t xml:space="preserve">Only the Swiss/SAC ecosystem uses T-scale; global apps use proprietary difficulty ratings.</t>
  </si>
  <si>
    <t xml:space="preserve">WEATHER &amp; CONDITIONS</t>
  </si>
  <si>
    <t xml:space="preserve">FR-4</t>
  </si>
  <si>
    <t xml:space="preserve">Weather resolved along route geography + elevation profile (not a single point)</t>
  </si>
  <si>
    <t xml:space="preserve">meteoblue/MeteoSwiss give elevation-specific forecasts; NO product does true along-track profiling.</t>
  </si>
  <si>
    <t xml:space="preserve">FR-5</t>
  </si>
  <si>
    <t xml:space="preserve">Mountain-safety conditions: precip, freezing level, wind, visibility/cloud base, thunderstorm, snow/avalanche</t>
  </si>
  <si>
    <t xml:space="preserve">meteoblue + MeteoSwiss cover these deeply; route apps show a generic panel.</t>
  </si>
  <si>
    <t xml:space="preserve">FR-6</t>
  </si>
  <si>
    <t xml:space="preserve">Timing — conditions at the user's expected position at a given hour</t>
  </si>
  <si>
    <t xml:space="preserve">Hourly forecasts exist; NO product couples position + time along the route.</t>
  </si>
  <si>
    <t xml:space="preserve">RISK ASSESSMENT  (core differentiator)</t>
  </si>
  <si>
    <t xml:space="preserve">FR-7</t>
  </si>
  <si>
    <t xml:space="preserve">Fuse terrain + weather into route-specific hazards (not restating raw weather)</t>
  </si>
  <si>
    <t xml:space="preserve">WHITE SPACE. TrailWise/TrailGPT gesture at it; nobody does segment-level terrain×weather synthesis.</t>
  </si>
  <si>
    <t xml:space="preserve">FR-8</t>
  </si>
  <si>
    <t xml:space="preserve">Communicate risk with clear severity and the reasoning behind it</t>
  </si>
  <si>
    <t xml:space="preserve">WHITE SPACE. Alerts exist; transparent severity + reasoning does not.</t>
  </si>
  <si>
    <t xml:space="preserve">FR-9</t>
  </si>
  <si>
    <t xml:space="preserve">Account for user context (experience, group, gear, start time); degrade gracefully</t>
  </si>
  <si>
    <t xml:space="preserve">AI assistants personalize on skill/fitness/history well.</t>
  </si>
  <si>
    <t xml:space="preserve">RECOMMENDATIONS &amp; ALTERNATIVES</t>
  </si>
  <si>
    <t xml:space="preserve">FR-10</t>
  </si>
  <si>
    <t xml:space="preserve">Suggest mitigations + alternative routes matched to conditions and profile</t>
  </si>
  <si>
    <t xml:space="preserve">Route customization exists; condition-driven alternatives are shallow.</t>
  </si>
  <si>
    <t xml:space="preserve">FR-11</t>
  </si>
  <si>
    <t xml:space="preserve">Explain WHY an alternative is proposed, tied to specific conditions/terrain</t>
  </si>
  <si>
    <t xml:space="preserve">WHITE SPACE. Reasoning transparency largely absent.</t>
  </si>
  <si>
    <t xml:space="preserve">INTERACTION</t>
  </si>
  <si>
    <t xml:space="preserve">FR-12</t>
  </si>
  <si>
    <t xml:space="preserve">Natural-language, multi-turn Q&amp;A retaining route/context within a session</t>
  </si>
  <si>
    <t xml:space="preserve">TrailGPT is the clearest conversational agent; AllTrails Peak partial.</t>
  </si>
  <si>
    <t xml:space="preserve">FR-13</t>
  </si>
  <si>
    <t xml:space="preserve">Cite / attribute underlying data sources for safety-relevant claims</t>
  </si>
  <si>
    <t xml:space="preserve">WHITE SPACE. Provenance to the user is essentially unserved.</t>
  </si>
  <si>
    <t xml:space="preserve">DATA &amp; INTEGRATION</t>
  </si>
  <si>
    <t xml:space="preserve">DR-1</t>
  </si>
  <si>
    <t xml:space="preserve">Integrate MeteoSwiss OGD (weather) + swisstopo (terrain/route)</t>
  </si>
  <si>
    <t xml:space="preserve">Only the Swiss official stack is built on these exact sources.</t>
  </si>
  <si>
    <t xml:space="preserve">DR-2</t>
  </si>
  <si>
    <t xml:space="preserve">Geospatial reasoning: spatial joins, elevation-aware sampling along the track</t>
  </si>
  <si>
    <t xml:space="preserve">Elevation profiles exist; deeper spatial reasoning is not exposed.</t>
  </si>
  <si>
    <t xml:space="preserve">DR-3</t>
  </si>
  <si>
    <t xml:space="preserve">Handle source unavailability / staleness / partial coverage explicitly</t>
  </si>
  <si>
    <t xml:space="preserve">meteoblue's predictability signal is the best market proxy.</t>
  </si>
  <si>
    <t xml:space="preserve">DR-4</t>
  </si>
  <si>
    <t xml:space="preserve">Record provenance + timestamps for every fact surfaced</t>
  </si>
  <si>
    <t xml:space="preserve">WHITE SPACE. Fact-level provenance mostly absent.</t>
  </si>
  <si>
    <t xml:space="preserve">AI / AGENTIC  (mostly our build choices)</t>
  </si>
  <si>
    <t xml:space="preserve">AR-1</t>
  </si>
  <si>
    <t xml:space="preserve">RAG over the retrieval corpus, with live weather kept off the vector store</t>
  </si>
  <si>
    <t xml:space="preserve">Internal architecture choice — not a competitor-observable feature.</t>
  </si>
  <si>
    <t xml:space="preserve">AR-2</t>
  </si>
  <si>
    <t xml:space="preserve">Expose data sources/capabilities as composable tools (MCP)</t>
  </si>
  <si>
    <t xml:space="preserve">Internal architecture choice.</t>
  </si>
  <si>
    <t xml:space="preserve">AR-3</t>
  </si>
  <si>
    <t xml:space="preserve">Agentic multi-source decomposition + synthesis, observable/evaluable (AIQ)</t>
  </si>
  <si>
    <t xml:space="preserve">Observable proxy = multi-source synthesis; eval/observability is internal.</t>
  </si>
  <si>
    <t xml:space="preserve">AR-4</t>
  </si>
  <si>
    <t xml:space="preserve">Ground outputs in retrieved data; no unsupported safety claims</t>
  </si>
  <si>
    <t xml:space="preserve">Non-AI data products are inherently grounded; LLM assistants carry hallucination risk.</t>
  </si>
  <si>
    <t xml:space="preserve">NON-FUNCTIONAL</t>
  </si>
  <si>
    <t xml:space="preserve">NFR-1</t>
  </si>
  <si>
    <t xml:space="preserve">Safety-criticality: optimize against FALSE REASSURANCE</t>
  </si>
  <si>
    <t xml:space="preserve">Official warnings are conservative by design; consumer AI apps are engagement-optimized. Garmin's blunt point-forecast has caused false reassurance in the field.</t>
  </si>
  <si>
    <t xml:space="preserve">NFR-2</t>
  </si>
  <si>
    <t xml:space="preserve">Reliability under degraded data; label stale forecasts</t>
  </si>
  <si>
    <t xml:space="preserve">Predictability/warning labels are the closest analog.</t>
  </si>
  <si>
    <t xml:space="preserve">NFR-3</t>
  </si>
  <si>
    <t xml:space="preserve">Groundedness: every safety claim traces to a source</t>
  </si>
  <si>
    <t xml:space="preserve">WHITE SPACE for the AI layer specifically.</t>
  </si>
  <si>
    <t xml:space="preserve">NFR-4</t>
  </si>
  <si>
    <t xml:space="preserve">Interactive latency + tolerance for poor mountain connectivity (offline)</t>
  </si>
  <si>
    <t xml:space="preserve">swisstopo offline maps free; most apps gate offline behind premium. Garmin is best-in-class: satellite + on-device maps work fully off-grid.</t>
  </si>
  <si>
    <t xml:space="preserve">NFR-5</t>
  </si>
  <si>
    <t xml:space="preserve">Localization for DE / FR / IT / EN</t>
  </si>
  <si>
    <t xml:space="preserve">Swiss/European products handle multilingual natively; US newcomers English-only.</t>
  </si>
  <si>
    <t xml:space="preserve">NFR-6</t>
  </si>
  <si>
    <t xml:space="preserve">Privacy — minimize retention of location/route data</t>
  </si>
  <si>
    <t xml:space="preserve">Not differentiated publicly — assess per vendor privacy policy.</t>
  </si>
  <si>
    <t xml:space="preserve">NFR-7</t>
  </si>
  <si>
    <t xml:space="preserve">Observability of agent steps, tool calls, data freshness</t>
  </si>
  <si>
    <t xml:space="preserve">Internal architecture concern — not competitor-observable.</t>
  </si>
  <si>
    <t xml:space="preserve">SAFETY, TRUST &amp; LIABILITY  (domain-critical)</t>
  </si>
  <si>
    <t xml:space="preserve">SR-1</t>
  </si>
  <si>
    <t xml:space="preserve">Disclaimer: supplements, does not replace, official sources and judgment</t>
  </si>
  <si>
    <t xml:space="preserve">Official channels carry guidance; consumer positioning tends to over-promise.</t>
  </si>
  <si>
    <t xml:space="preserve">SR-2</t>
  </si>
  <si>
    <t xml:space="preserve">Point users to authoritative channels (avalanche bulletin, MeteoSwiss warnings, 1414/112)</t>
  </si>
  <si>
    <t xml:space="preserve">Only the Swiss stack routes to Swiss authoritative channels. Garmin exceeds 'pointing' — inReach provides real SOS via Garmin Response.</t>
  </si>
  <si>
    <t xml:space="preserve">SR-3</t>
  </si>
  <si>
    <t xml:space="preserve">Fail safe: on low confidence/data quality, advise caution</t>
  </si>
  <si>
    <t xml:space="preserve">WHITE SPACE. Deliberate fail-safe behavior is rare.</t>
  </si>
  <si>
    <t xml:space="preserve">SR-4</t>
  </si>
  <si>
    <t xml:space="preserve">Avoid definitive safe/go verdicts; frame as conditions, risks, considerations</t>
  </si>
  <si>
    <t xml:space="preserve">Data-display tools avoid verdicts by default; recommendation apps risk implying go/no-go.</t>
  </si>
  <si>
    <t xml:space="preserve">COVERAGE SUMMARY</t>
  </si>
  <si>
    <t xml:space="preserve">Full (count)</t>
  </si>
  <si>
    <t xml:space="preserve">Partial (count)</t>
  </si>
  <si>
    <t xml:space="preserve">None (count)</t>
  </si>
  <si>
    <t xml:space="preserve">N/A (excluded)</t>
  </si>
  <si>
    <t xml:space="preserve">Competitor Profiles — What they have vs. what they're missing</t>
  </si>
  <si>
    <t xml:space="preserve">Competitor</t>
  </si>
  <si>
    <t xml:space="preserve">What they HAVE</t>
  </si>
  <si>
    <t xml:space="preserve">What they're MISSING (vs. our requirements)</t>
  </si>
  <si>
    <t xml:space="preserve">Overall fit</t>
  </si>
  <si>
    <t xml:space="preserve">HiiKER / TrailGPT</t>
  </si>
  <si>
    <t xml:space="preserve">Conversational AI assistant over 100k+ trails. Personalized suggestions by skill level and hike history. In-app Q&amp;A on challenge, distance, elevation, underfoot conditions. Integrates terrain + live weather.</t>
  </si>
  <si>
    <t xml:space="preserve">Not grounded in MeteoSwiss/swisstopo. No T1–T6 scale. No segment-level terrain×weather risk fusion or reasoning transparency. No source provenance, no fail-safe posture, no Swiss authoritative channels.</t>
  </si>
  <si>
    <t xml:space="preserve">Closest UX precedent for the assistant surface.</t>
  </si>
  <si>
    <t xml:space="preserve">AllTrails Peak</t>
  </si>
  <si>
    <t xml:space="preserve">AI-assisted custom route building over 500k+ trails; real-time weather and terrain updates; strong personalization and huge user base; offline maps (premium).</t>
  </si>
  <si>
    <t xml:space="preserve">Global/US-centric, not Swiss-data grounded. Weak conversational depth. No risk fusion/reasoning, no provenance, no fail-safe framing, no T-scale.</t>
  </si>
  <si>
    <t xml:space="preserve">Scale + polish; shallow on safety-critical layer.</t>
  </si>
  <si>
    <t xml:space="preserve">The authoritative data baseline: official hiking/alpine trails, trail closures (daily), SAC huts, T-scale, elevation-specific mountain warnings and natural-hazard alerts, free offline maps, multilingual, routes to official warning channels.</t>
  </si>
  <si>
    <t xml:space="preserve">No AI, no conversation, no fusion or synthesis, no personalization, no alternatives, no agentic reasoning. It's primitives, not an assistant.</t>
  </si>
  <si>
    <t xml:space="preserve">Consume it as ground truth — don't rebuild.</t>
  </si>
  <si>
    <t xml:space="preserve">Swiss-based, elevation- and time-resolved mountain forecasting; thunderstorm, freezing level, snow limit, wind gusts; a predictability signal that flags forecast reliability; multilingual.</t>
  </si>
  <si>
    <t xml:space="preserve">Weather-only. No route/terrain, no fusion, no personalization, no conversation, no Swiss route data, no alternatives.</t>
  </si>
  <si>
    <t xml:space="preserve">Best forecast-honesty pattern to emulate (predictability).</t>
  </si>
  <si>
    <t xml:space="preserve">Mature route planner with elevation profiles and a per-route weather panel ('if you start now'); global; multilingual; light AI.</t>
  </si>
  <si>
    <t xml:space="preserve">Weather is co-displayed, not fused. Own difficulty rating, not T-scale. No Swiss-data grounding, no risk reasoning, no provenance, no fail-safe posture.</t>
  </si>
  <si>
    <t xml:space="preserve">Route-planning UX reference; not a safety tool.</t>
  </si>
  <si>
    <t xml:space="preserve">AI trail intelligence that pitches exactly our risk angle: matches on fitness/location/weather/permits and pushes flash-flood, smoke, closure and permit alerts pre-trailhead.</t>
  </si>
  <si>
    <t xml:space="preserve">US-centric, English-only. Alerts are coarse, not segment-level terrain×weather reasoning. No Swiss data, no provenance, no transparent severity/reasoning, no T-scale.</t>
  </si>
  <si>
    <t xml:space="preserve">Nearest positioning; validates the risk thesis.</t>
  </si>
  <si>
    <t xml:space="preserve">Adjacent category: hardware + satellite safety net. Off-grid satellite messaging and point weather; on-device maps, courses and routing; LiveTrack breadcrumb; real SOS via Garmin Response; fitness-aware watches; deeply localized.</t>
  </si>
  <si>
    <t xml:space="preserve">Point-based, often blunt weather (documented false-reassurance failures). No terrain×weather fusion, no conversation, no Swiss-data grounding, no reasoning/provenance, no T-scale.</t>
  </si>
  <si>
    <t xml:space="preserve">Not a software competitor — but exposes a gap in OUR spec: off-grid comms + active SOS (NFR-4, SR-2).</t>
  </si>
  <si>
    <t xml:space="preserve">TAKEAWAY:  Build the fusion + groundedness + fail-safe safety layer (FR-7, FR-8, FR-11, FR-13, DR-4, NFR-1/3, SR-1–4). Integrate — don't reinvent — the Swiss data (swisstopo/MeteoSwiss) and forecasting (meteoblue). Borrow the assistant UX from HiiKER/TrailGPT and AllTrails Peak. That combination is what no competitor offers.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</si>
</sst>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4C7E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CE6F1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CE6F1"/>
      </patternFill>
    </fill>
    <fill>
      <patternFill patternType="solid">
        <fgColor rgb="FF1F3864"/>
        <bgColor rgb="FF2E4C7E"/>
      </patternFill>
    </fill>
    <fill>
      <patternFill patternType="solid">
        <fgColor rgb="FFDCE6F1"/>
        <bgColor rgb="FFD9D9D9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5FA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4C7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46.25" hidden="false" customHeight="false" outlineLevel="0" collapsed="false">
      <c r="B6" s="3" t="s">
        <v>4</v>
      </c>
      <c r="C6" s="4" t="s">
        <v>5</v>
      </c>
    </row>
    <row r="7" customFormat="false" ht="35.05" hidden="false" customHeight="fals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</row>
    <row r="10" customFormat="false" ht="15" hidden="false" customHeight="false" outlineLevel="0" collapsed="false">
      <c r="B10" s="6" t="s">
        <v>9</v>
      </c>
      <c r="C10" s="7" t="s">
        <v>10</v>
      </c>
    </row>
    <row r="11" customFormat="false" ht="15" hidden="false" customHeight="false" outlineLevel="0" collapsed="false">
      <c r="B11" s="8" t="s">
        <v>11</v>
      </c>
      <c r="C11" s="7" t="s">
        <v>12</v>
      </c>
    </row>
    <row r="12" customFormat="false" ht="15" hidden="false" customHeight="false" outlineLevel="0" collapsed="false">
      <c r="B12" s="9" t="s">
        <v>13</v>
      </c>
      <c r="C12" s="7" t="s">
        <v>14</v>
      </c>
    </row>
    <row r="13" customFormat="false" ht="15" hidden="false" customHeight="false" outlineLevel="0" collapsed="false">
      <c r="B13" s="10" t="s">
        <v>15</v>
      </c>
      <c r="C13" s="7" t="s">
        <v>16</v>
      </c>
    </row>
    <row r="15" customFormat="false" ht="15" hidden="false" customHeight="false" outlineLevel="0" collapsed="false">
      <c r="B15" s="3" t="s">
        <v>17</v>
      </c>
      <c r="C15" s="11" t="s">
        <v>18</v>
      </c>
    </row>
    <row r="17" customFormat="false" ht="35.05" hidden="false" customHeight="false" outlineLevel="0" collapsed="false">
      <c r="B17" s="3" t="s">
        <v>19</v>
      </c>
      <c r="C17" s="4" t="s">
        <v>20</v>
      </c>
    </row>
    <row r="19" customFormat="false" ht="15" hidden="false" customHeight="false" outlineLevel="0" collapsed="false">
      <c r="B19" s="3" t="s">
        <v>21</v>
      </c>
      <c r="C19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9" min="3" style="0" width="15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12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45.75" hidden="false" customHeight="true" outlineLevel="0" collapsed="false">
      <c r="A2" s="13" t="s">
        <v>24</v>
      </c>
      <c r="B2" s="13" t="s">
        <v>25</v>
      </c>
      <c r="C2" s="13" t="s">
        <v>26</v>
      </c>
      <c r="D2" s="13" t="s">
        <v>27</v>
      </c>
      <c r="E2" s="13" t="s">
        <v>28</v>
      </c>
      <c r="F2" s="13" t="s">
        <v>29</v>
      </c>
      <c r="G2" s="13" t="s">
        <v>30</v>
      </c>
      <c r="H2" s="13" t="s">
        <v>31</v>
      </c>
      <c r="I2" s="13" t="s">
        <v>32</v>
      </c>
      <c r="J2" s="13" t="s">
        <v>33</v>
      </c>
    </row>
    <row r="3" customFormat="false" ht="15" hidden="false" customHeight="false" outlineLevel="0" collapsed="false">
      <c r="A3" s="14" t="s">
        <v>34</v>
      </c>
      <c r="B3" s="14"/>
      <c r="C3" s="14"/>
      <c r="D3" s="14"/>
      <c r="E3" s="14"/>
      <c r="F3" s="14"/>
      <c r="G3" s="14"/>
      <c r="H3" s="14"/>
      <c r="I3" s="14"/>
      <c r="J3" s="14"/>
    </row>
    <row r="4" customFormat="false" ht="30" hidden="false" customHeight="true" outlineLevel="0" collapsed="false">
      <c r="A4" s="15" t="s">
        <v>35</v>
      </c>
      <c r="B4" s="16" t="s">
        <v>36</v>
      </c>
      <c r="C4" s="17" t="s">
        <v>9</v>
      </c>
      <c r="D4" s="17" t="s">
        <v>9</v>
      </c>
      <c r="E4" s="17" t="s">
        <v>9</v>
      </c>
      <c r="F4" s="18" t="s">
        <v>13</v>
      </c>
      <c r="G4" s="17" t="s">
        <v>9</v>
      </c>
      <c r="H4" s="19" t="s">
        <v>11</v>
      </c>
      <c r="I4" s="19" t="s">
        <v>11</v>
      </c>
      <c r="J4" s="20" t="s">
        <v>37</v>
      </c>
    </row>
    <row r="5" customFormat="false" ht="30" hidden="false" customHeight="true" outlineLevel="0" collapsed="false">
      <c r="A5" s="15" t="s">
        <v>38</v>
      </c>
      <c r="B5" s="16" t="s">
        <v>39</v>
      </c>
      <c r="C5" s="19" t="s">
        <v>11</v>
      </c>
      <c r="D5" s="19" t="s">
        <v>11</v>
      </c>
      <c r="E5" s="17" t="s">
        <v>9</v>
      </c>
      <c r="F5" s="18" t="s">
        <v>13</v>
      </c>
      <c r="G5" s="19" t="s">
        <v>11</v>
      </c>
      <c r="H5" s="19" t="s">
        <v>11</v>
      </c>
      <c r="I5" s="18" t="s">
        <v>13</v>
      </c>
      <c r="J5" s="20" t="s">
        <v>40</v>
      </c>
    </row>
    <row r="6" customFormat="false" ht="30" hidden="false" customHeight="true" outlineLevel="0" collapsed="false">
      <c r="A6" s="15" t="s">
        <v>41</v>
      </c>
      <c r="B6" s="16" t="s">
        <v>42</v>
      </c>
      <c r="C6" s="18" t="s">
        <v>13</v>
      </c>
      <c r="D6" s="18" t="s">
        <v>13</v>
      </c>
      <c r="E6" s="17" t="s">
        <v>9</v>
      </c>
      <c r="F6" s="18" t="s">
        <v>13</v>
      </c>
      <c r="G6" s="18" t="s">
        <v>13</v>
      </c>
      <c r="H6" s="18" t="s">
        <v>13</v>
      </c>
      <c r="I6" s="18" t="s">
        <v>13</v>
      </c>
      <c r="J6" s="20" t="s">
        <v>43</v>
      </c>
    </row>
    <row r="7" customFormat="false" ht="15" hidden="false" customHeight="false" outlineLevel="0" collapsed="false">
      <c r="A7" s="14" t="s">
        <v>44</v>
      </c>
      <c r="B7" s="14"/>
      <c r="C7" s="14"/>
      <c r="D7" s="14"/>
      <c r="E7" s="14"/>
      <c r="F7" s="14"/>
      <c r="G7" s="14"/>
      <c r="H7" s="14"/>
      <c r="I7" s="14"/>
      <c r="J7" s="14"/>
    </row>
    <row r="8" customFormat="false" ht="30" hidden="false" customHeight="true" outlineLevel="0" collapsed="false">
      <c r="A8" s="15" t="s">
        <v>45</v>
      </c>
      <c r="B8" s="16" t="s">
        <v>46</v>
      </c>
      <c r="C8" s="19" t="s">
        <v>11</v>
      </c>
      <c r="D8" s="19" t="s">
        <v>11</v>
      </c>
      <c r="E8" s="19" t="s">
        <v>11</v>
      </c>
      <c r="F8" s="19" t="s">
        <v>11</v>
      </c>
      <c r="G8" s="19" t="s">
        <v>11</v>
      </c>
      <c r="H8" s="19" t="s">
        <v>11</v>
      </c>
      <c r="I8" s="19" t="s">
        <v>11</v>
      </c>
      <c r="J8" s="20" t="s">
        <v>47</v>
      </c>
    </row>
    <row r="9" customFormat="false" ht="30" hidden="false" customHeight="true" outlineLevel="0" collapsed="false">
      <c r="A9" s="15" t="s">
        <v>48</v>
      </c>
      <c r="B9" s="16" t="s">
        <v>49</v>
      </c>
      <c r="C9" s="19" t="s">
        <v>11</v>
      </c>
      <c r="D9" s="19" t="s">
        <v>11</v>
      </c>
      <c r="E9" s="17" t="s">
        <v>9</v>
      </c>
      <c r="F9" s="17" t="s">
        <v>9</v>
      </c>
      <c r="G9" s="19" t="s">
        <v>11</v>
      </c>
      <c r="H9" s="19" t="s">
        <v>11</v>
      </c>
      <c r="I9" s="19" t="s">
        <v>11</v>
      </c>
      <c r="J9" s="20" t="s">
        <v>50</v>
      </c>
    </row>
    <row r="10" customFormat="false" ht="30" hidden="false" customHeight="true" outlineLevel="0" collapsed="false">
      <c r="A10" s="15" t="s">
        <v>51</v>
      </c>
      <c r="B10" s="16" t="s">
        <v>52</v>
      </c>
      <c r="C10" s="19" t="s">
        <v>11</v>
      </c>
      <c r="D10" s="19" t="s">
        <v>11</v>
      </c>
      <c r="E10" s="19" t="s">
        <v>11</v>
      </c>
      <c r="F10" s="19" t="s">
        <v>11</v>
      </c>
      <c r="G10" s="19" t="s">
        <v>11</v>
      </c>
      <c r="H10" s="19" t="s">
        <v>11</v>
      </c>
      <c r="I10" s="19" t="s">
        <v>11</v>
      </c>
      <c r="J10" s="20" t="s">
        <v>53</v>
      </c>
    </row>
    <row r="11" customFormat="false" ht="15" hidden="false" customHeight="false" outlineLevel="0" collapsed="false">
      <c r="A11" s="14" t="s">
        <v>54</v>
      </c>
      <c r="B11" s="14"/>
      <c r="C11" s="14"/>
      <c r="D11" s="14"/>
      <c r="E11" s="14"/>
      <c r="F11" s="14"/>
      <c r="G11" s="14"/>
      <c r="H11" s="14"/>
      <c r="I11" s="14"/>
      <c r="J11" s="14"/>
    </row>
    <row r="12" customFormat="false" ht="30" hidden="false" customHeight="true" outlineLevel="0" collapsed="false">
      <c r="A12" s="15" t="s">
        <v>55</v>
      </c>
      <c r="B12" s="16" t="s">
        <v>56</v>
      </c>
      <c r="C12" s="19" t="s">
        <v>11</v>
      </c>
      <c r="D12" s="18" t="s">
        <v>13</v>
      </c>
      <c r="E12" s="18" t="s">
        <v>13</v>
      </c>
      <c r="F12" s="18" t="s">
        <v>13</v>
      </c>
      <c r="G12" s="18" t="s">
        <v>13</v>
      </c>
      <c r="H12" s="19" t="s">
        <v>11</v>
      </c>
      <c r="I12" s="18" t="s">
        <v>13</v>
      </c>
      <c r="J12" s="20" t="s">
        <v>57</v>
      </c>
    </row>
    <row r="13" customFormat="false" ht="30" hidden="false" customHeight="true" outlineLevel="0" collapsed="false">
      <c r="A13" s="15" t="s">
        <v>58</v>
      </c>
      <c r="B13" s="16" t="s">
        <v>59</v>
      </c>
      <c r="C13" s="19" t="s">
        <v>11</v>
      </c>
      <c r="D13" s="18" t="s">
        <v>13</v>
      </c>
      <c r="E13" s="18" t="s">
        <v>13</v>
      </c>
      <c r="F13" s="18" t="s">
        <v>13</v>
      </c>
      <c r="G13" s="18" t="s">
        <v>13</v>
      </c>
      <c r="H13" s="19" t="s">
        <v>11</v>
      </c>
      <c r="I13" s="18" t="s">
        <v>13</v>
      </c>
      <c r="J13" s="20" t="s">
        <v>60</v>
      </c>
    </row>
    <row r="14" customFormat="false" ht="30" hidden="false" customHeight="true" outlineLevel="0" collapsed="false">
      <c r="A14" s="15" t="s">
        <v>61</v>
      </c>
      <c r="B14" s="16" t="s">
        <v>62</v>
      </c>
      <c r="C14" s="17" t="s">
        <v>9</v>
      </c>
      <c r="D14" s="17" t="s">
        <v>9</v>
      </c>
      <c r="E14" s="18" t="s">
        <v>13</v>
      </c>
      <c r="F14" s="18" t="s">
        <v>13</v>
      </c>
      <c r="G14" s="19" t="s">
        <v>11</v>
      </c>
      <c r="H14" s="17" t="s">
        <v>9</v>
      </c>
      <c r="I14" s="19" t="s">
        <v>11</v>
      </c>
      <c r="J14" s="20" t="s">
        <v>63</v>
      </c>
    </row>
    <row r="15" customFormat="false" ht="15" hidden="false" customHeight="false" outlineLevel="0" collapsed="false">
      <c r="A15" s="14" t="s">
        <v>64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30" hidden="false" customHeight="true" outlineLevel="0" collapsed="false">
      <c r="A16" s="15" t="s">
        <v>65</v>
      </c>
      <c r="B16" s="16" t="s">
        <v>66</v>
      </c>
      <c r="C16" s="19" t="s">
        <v>11</v>
      </c>
      <c r="D16" s="19" t="s">
        <v>11</v>
      </c>
      <c r="E16" s="18" t="s">
        <v>13</v>
      </c>
      <c r="F16" s="18" t="s">
        <v>13</v>
      </c>
      <c r="G16" s="19" t="s">
        <v>11</v>
      </c>
      <c r="H16" s="19" t="s">
        <v>11</v>
      </c>
      <c r="I16" s="18" t="s">
        <v>13</v>
      </c>
      <c r="J16" s="20" t="s">
        <v>67</v>
      </c>
    </row>
    <row r="17" customFormat="false" ht="30" hidden="false" customHeight="true" outlineLevel="0" collapsed="false">
      <c r="A17" s="15" t="s">
        <v>68</v>
      </c>
      <c r="B17" s="16" t="s">
        <v>69</v>
      </c>
      <c r="C17" s="19" t="s">
        <v>11</v>
      </c>
      <c r="D17" s="18" t="s">
        <v>13</v>
      </c>
      <c r="E17" s="18" t="s">
        <v>13</v>
      </c>
      <c r="F17" s="18" t="s">
        <v>13</v>
      </c>
      <c r="G17" s="18" t="s">
        <v>13</v>
      </c>
      <c r="H17" s="18" t="s">
        <v>13</v>
      </c>
      <c r="I17" s="18" t="s">
        <v>13</v>
      </c>
      <c r="J17" s="20" t="s">
        <v>70</v>
      </c>
    </row>
    <row r="18" customFormat="false" ht="15" hidden="false" customHeight="false" outlineLevel="0" collapsed="false">
      <c r="A18" s="14" t="s">
        <v>71</v>
      </c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30" hidden="false" customHeight="true" outlineLevel="0" collapsed="false">
      <c r="A19" s="15" t="s">
        <v>72</v>
      </c>
      <c r="B19" s="16" t="s">
        <v>73</v>
      </c>
      <c r="C19" s="17" t="s">
        <v>9</v>
      </c>
      <c r="D19" s="19" t="s">
        <v>11</v>
      </c>
      <c r="E19" s="18" t="s">
        <v>13</v>
      </c>
      <c r="F19" s="18" t="s">
        <v>13</v>
      </c>
      <c r="G19" s="18" t="s">
        <v>13</v>
      </c>
      <c r="H19" s="18" t="s">
        <v>13</v>
      </c>
      <c r="I19" s="18" t="s">
        <v>13</v>
      </c>
      <c r="J19" s="20" t="s">
        <v>74</v>
      </c>
    </row>
    <row r="20" customFormat="false" ht="30" hidden="false" customHeight="true" outlineLevel="0" collapsed="false">
      <c r="A20" s="15" t="s">
        <v>75</v>
      </c>
      <c r="B20" s="16" t="s">
        <v>76</v>
      </c>
      <c r="C20" s="18" t="s">
        <v>13</v>
      </c>
      <c r="D20" s="18" t="s">
        <v>13</v>
      </c>
      <c r="E20" s="19" t="s">
        <v>11</v>
      </c>
      <c r="F20" s="18" t="s">
        <v>13</v>
      </c>
      <c r="G20" s="18" t="s">
        <v>13</v>
      </c>
      <c r="H20" s="18" t="s">
        <v>13</v>
      </c>
      <c r="I20" s="18" t="s">
        <v>13</v>
      </c>
      <c r="J20" s="20" t="s">
        <v>77</v>
      </c>
    </row>
    <row r="21" customFormat="false" ht="15" hidden="false" customHeight="false" outlineLevel="0" collapsed="false">
      <c r="A21" s="14" t="s">
        <v>78</v>
      </c>
      <c r="B21" s="14"/>
      <c r="C21" s="14"/>
      <c r="D21" s="14"/>
      <c r="E21" s="14"/>
      <c r="F21" s="14"/>
      <c r="G21" s="14"/>
      <c r="H21" s="14"/>
      <c r="I21" s="14"/>
      <c r="J21" s="14"/>
    </row>
    <row r="22" customFormat="false" ht="30" hidden="false" customHeight="true" outlineLevel="0" collapsed="false">
      <c r="A22" s="15" t="s">
        <v>79</v>
      </c>
      <c r="B22" s="16" t="s">
        <v>80</v>
      </c>
      <c r="C22" s="18" t="s">
        <v>13</v>
      </c>
      <c r="D22" s="18" t="s">
        <v>13</v>
      </c>
      <c r="E22" s="17" t="s">
        <v>9</v>
      </c>
      <c r="F22" s="18" t="s">
        <v>13</v>
      </c>
      <c r="G22" s="18" t="s">
        <v>13</v>
      </c>
      <c r="H22" s="18" t="s">
        <v>13</v>
      </c>
      <c r="I22" s="18" t="s">
        <v>13</v>
      </c>
      <c r="J22" s="20" t="s">
        <v>81</v>
      </c>
    </row>
    <row r="23" customFormat="false" ht="30" hidden="false" customHeight="true" outlineLevel="0" collapsed="false">
      <c r="A23" s="15" t="s">
        <v>82</v>
      </c>
      <c r="B23" s="16" t="s">
        <v>83</v>
      </c>
      <c r="C23" s="19" t="s">
        <v>11</v>
      </c>
      <c r="D23" s="19" t="s">
        <v>11</v>
      </c>
      <c r="E23" s="19" t="s">
        <v>11</v>
      </c>
      <c r="F23" s="18" t="s">
        <v>13</v>
      </c>
      <c r="G23" s="19" t="s">
        <v>11</v>
      </c>
      <c r="H23" s="18" t="s">
        <v>13</v>
      </c>
      <c r="I23" s="19" t="s">
        <v>11</v>
      </c>
      <c r="J23" s="20" t="s">
        <v>84</v>
      </c>
    </row>
    <row r="24" customFormat="false" ht="30" hidden="false" customHeight="true" outlineLevel="0" collapsed="false">
      <c r="A24" s="15" t="s">
        <v>85</v>
      </c>
      <c r="B24" s="16" t="s">
        <v>86</v>
      </c>
      <c r="C24" s="18" t="s">
        <v>13</v>
      </c>
      <c r="D24" s="18" t="s">
        <v>13</v>
      </c>
      <c r="E24" s="19" t="s">
        <v>11</v>
      </c>
      <c r="F24" s="19" t="s">
        <v>11</v>
      </c>
      <c r="G24" s="18" t="s">
        <v>13</v>
      </c>
      <c r="H24" s="18" t="s">
        <v>13</v>
      </c>
      <c r="I24" s="18" t="s">
        <v>13</v>
      </c>
      <c r="J24" s="20" t="s">
        <v>87</v>
      </c>
    </row>
    <row r="25" customFormat="false" ht="30" hidden="false" customHeight="true" outlineLevel="0" collapsed="false">
      <c r="A25" s="15" t="s">
        <v>88</v>
      </c>
      <c r="B25" s="16" t="s">
        <v>89</v>
      </c>
      <c r="C25" s="18" t="s">
        <v>13</v>
      </c>
      <c r="D25" s="18" t="s">
        <v>13</v>
      </c>
      <c r="E25" s="19" t="s">
        <v>11</v>
      </c>
      <c r="F25" s="19" t="s">
        <v>11</v>
      </c>
      <c r="G25" s="18" t="s">
        <v>13</v>
      </c>
      <c r="H25" s="18" t="s">
        <v>13</v>
      </c>
      <c r="I25" s="18" t="s">
        <v>13</v>
      </c>
      <c r="J25" s="20" t="s">
        <v>90</v>
      </c>
    </row>
    <row r="26" customFormat="false" ht="15" hidden="false" customHeight="false" outlineLevel="0" collapsed="false">
      <c r="A26" s="14" t="s">
        <v>91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30" hidden="false" customHeight="true" outlineLevel="0" collapsed="false">
      <c r="A27" s="15" t="s">
        <v>92</v>
      </c>
      <c r="B27" s="16" t="s">
        <v>93</v>
      </c>
      <c r="C27" s="21" t="s">
        <v>15</v>
      </c>
      <c r="D27" s="21" t="s">
        <v>15</v>
      </c>
      <c r="E27" s="21" t="s">
        <v>15</v>
      </c>
      <c r="F27" s="21" t="s">
        <v>15</v>
      </c>
      <c r="G27" s="21" t="s">
        <v>15</v>
      </c>
      <c r="H27" s="21" t="s">
        <v>15</v>
      </c>
      <c r="I27" s="21" t="s">
        <v>15</v>
      </c>
      <c r="J27" s="20" t="s">
        <v>94</v>
      </c>
    </row>
    <row r="28" customFormat="false" ht="30" hidden="false" customHeight="true" outlineLevel="0" collapsed="false">
      <c r="A28" s="15" t="s">
        <v>95</v>
      </c>
      <c r="B28" s="16" t="s">
        <v>96</v>
      </c>
      <c r="C28" s="21" t="s">
        <v>15</v>
      </c>
      <c r="D28" s="21" t="s">
        <v>15</v>
      </c>
      <c r="E28" s="21" t="s">
        <v>15</v>
      </c>
      <c r="F28" s="21" t="s">
        <v>15</v>
      </c>
      <c r="G28" s="21" t="s">
        <v>15</v>
      </c>
      <c r="H28" s="21" t="s">
        <v>15</v>
      </c>
      <c r="I28" s="21" t="s">
        <v>15</v>
      </c>
      <c r="J28" s="20" t="s">
        <v>97</v>
      </c>
    </row>
    <row r="29" customFormat="false" ht="30" hidden="false" customHeight="true" outlineLevel="0" collapsed="false">
      <c r="A29" s="15" t="s">
        <v>98</v>
      </c>
      <c r="B29" s="16" t="s">
        <v>99</v>
      </c>
      <c r="C29" s="19" t="s">
        <v>11</v>
      </c>
      <c r="D29" s="19" t="s">
        <v>11</v>
      </c>
      <c r="E29" s="18" t="s">
        <v>13</v>
      </c>
      <c r="F29" s="18" t="s">
        <v>13</v>
      </c>
      <c r="G29" s="18" t="s">
        <v>13</v>
      </c>
      <c r="H29" s="19" t="s">
        <v>11</v>
      </c>
      <c r="I29" s="18" t="s">
        <v>13</v>
      </c>
      <c r="J29" s="20" t="s">
        <v>100</v>
      </c>
    </row>
    <row r="30" customFormat="false" ht="30" hidden="false" customHeight="true" outlineLevel="0" collapsed="false">
      <c r="A30" s="15" t="s">
        <v>101</v>
      </c>
      <c r="B30" s="16" t="s">
        <v>102</v>
      </c>
      <c r="C30" s="18" t="s">
        <v>13</v>
      </c>
      <c r="D30" s="19" t="s">
        <v>11</v>
      </c>
      <c r="E30" s="17" t="s">
        <v>9</v>
      </c>
      <c r="F30" s="17" t="s">
        <v>9</v>
      </c>
      <c r="G30" s="19" t="s">
        <v>11</v>
      </c>
      <c r="H30" s="18" t="s">
        <v>13</v>
      </c>
      <c r="I30" s="19" t="s">
        <v>11</v>
      </c>
      <c r="J30" s="20" t="s">
        <v>103</v>
      </c>
    </row>
    <row r="31" customFormat="false" ht="15" hidden="false" customHeight="false" outlineLevel="0" collapsed="false">
      <c r="A31" s="14" t="s">
        <v>104</v>
      </c>
      <c r="B31" s="14"/>
      <c r="C31" s="14"/>
      <c r="D31" s="14"/>
      <c r="E31" s="14"/>
      <c r="F31" s="14"/>
      <c r="G31" s="14"/>
      <c r="H31" s="14"/>
      <c r="I31" s="14"/>
      <c r="J31" s="14"/>
    </row>
    <row r="32" customFormat="false" ht="30" hidden="false" customHeight="true" outlineLevel="0" collapsed="false">
      <c r="A32" s="15" t="s">
        <v>105</v>
      </c>
      <c r="B32" s="16" t="s">
        <v>106</v>
      </c>
      <c r="C32" s="18" t="s">
        <v>13</v>
      </c>
      <c r="D32" s="18" t="s">
        <v>13</v>
      </c>
      <c r="E32" s="17" t="s">
        <v>9</v>
      </c>
      <c r="F32" s="19" t="s">
        <v>11</v>
      </c>
      <c r="G32" s="18" t="s">
        <v>13</v>
      </c>
      <c r="H32" s="19" t="s">
        <v>11</v>
      </c>
      <c r="I32" s="18" t="s">
        <v>13</v>
      </c>
      <c r="J32" s="20" t="s">
        <v>107</v>
      </c>
    </row>
    <row r="33" customFormat="false" ht="30" hidden="false" customHeight="true" outlineLevel="0" collapsed="false">
      <c r="A33" s="15" t="s">
        <v>108</v>
      </c>
      <c r="B33" s="16" t="s">
        <v>109</v>
      </c>
      <c r="C33" s="18" t="s">
        <v>13</v>
      </c>
      <c r="D33" s="18" t="s">
        <v>13</v>
      </c>
      <c r="E33" s="19" t="s">
        <v>11</v>
      </c>
      <c r="F33" s="19" t="s">
        <v>11</v>
      </c>
      <c r="G33" s="18" t="s">
        <v>13</v>
      </c>
      <c r="H33" s="18" t="s">
        <v>13</v>
      </c>
      <c r="I33" s="18" t="s">
        <v>13</v>
      </c>
      <c r="J33" s="20" t="s">
        <v>110</v>
      </c>
    </row>
    <row r="34" customFormat="false" ht="30" hidden="false" customHeight="true" outlineLevel="0" collapsed="false">
      <c r="A34" s="15" t="s">
        <v>111</v>
      </c>
      <c r="B34" s="16" t="s">
        <v>112</v>
      </c>
      <c r="C34" s="18" t="s">
        <v>13</v>
      </c>
      <c r="D34" s="19" t="s">
        <v>11</v>
      </c>
      <c r="E34" s="17" t="s">
        <v>9</v>
      </c>
      <c r="F34" s="19" t="s">
        <v>11</v>
      </c>
      <c r="G34" s="19" t="s">
        <v>11</v>
      </c>
      <c r="H34" s="18" t="s">
        <v>13</v>
      </c>
      <c r="I34" s="19" t="s">
        <v>11</v>
      </c>
      <c r="J34" s="20" t="s">
        <v>113</v>
      </c>
    </row>
    <row r="35" customFormat="false" ht="30" hidden="false" customHeight="true" outlineLevel="0" collapsed="false">
      <c r="A35" s="15" t="s">
        <v>114</v>
      </c>
      <c r="B35" s="16" t="s">
        <v>115</v>
      </c>
      <c r="C35" s="19" t="s">
        <v>11</v>
      </c>
      <c r="D35" s="19" t="s">
        <v>11</v>
      </c>
      <c r="E35" s="17" t="s">
        <v>9</v>
      </c>
      <c r="F35" s="19" t="s">
        <v>11</v>
      </c>
      <c r="G35" s="19" t="s">
        <v>11</v>
      </c>
      <c r="H35" s="18" t="s">
        <v>13</v>
      </c>
      <c r="I35" s="17" t="s">
        <v>9</v>
      </c>
      <c r="J35" s="20" t="s">
        <v>116</v>
      </c>
    </row>
    <row r="36" customFormat="false" ht="30" hidden="false" customHeight="true" outlineLevel="0" collapsed="false">
      <c r="A36" s="15" t="s">
        <v>117</v>
      </c>
      <c r="B36" s="16" t="s">
        <v>118</v>
      </c>
      <c r="C36" s="19" t="s">
        <v>11</v>
      </c>
      <c r="D36" s="19" t="s">
        <v>11</v>
      </c>
      <c r="E36" s="17" t="s">
        <v>9</v>
      </c>
      <c r="F36" s="17" t="s">
        <v>9</v>
      </c>
      <c r="G36" s="17" t="s">
        <v>9</v>
      </c>
      <c r="H36" s="18" t="s">
        <v>13</v>
      </c>
      <c r="I36" s="17" t="s">
        <v>9</v>
      </c>
      <c r="J36" s="20" t="s">
        <v>119</v>
      </c>
    </row>
    <row r="37" customFormat="false" ht="30" hidden="false" customHeight="true" outlineLevel="0" collapsed="false">
      <c r="A37" s="15" t="s">
        <v>120</v>
      </c>
      <c r="B37" s="16" t="s">
        <v>121</v>
      </c>
      <c r="C37" s="21" t="s">
        <v>15</v>
      </c>
      <c r="D37" s="21" t="s">
        <v>15</v>
      </c>
      <c r="E37" s="21" t="s">
        <v>15</v>
      </c>
      <c r="F37" s="21" t="s">
        <v>15</v>
      </c>
      <c r="G37" s="21" t="s">
        <v>15</v>
      </c>
      <c r="H37" s="21" t="s">
        <v>15</v>
      </c>
      <c r="I37" s="21" t="s">
        <v>15</v>
      </c>
      <c r="J37" s="20" t="s">
        <v>122</v>
      </c>
    </row>
    <row r="38" customFormat="false" ht="30" hidden="false" customHeight="true" outlineLevel="0" collapsed="false">
      <c r="A38" s="15" t="s">
        <v>123</v>
      </c>
      <c r="B38" s="16" t="s">
        <v>124</v>
      </c>
      <c r="C38" s="21" t="s">
        <v>15</v>
      </c>
      <c r="D38" s="21" t="s">
        <v>15</v>
      </c>
      <c r="E38" s="21" t="s">
        <v>15</v>
      </c>
      <c r="F38" s="21" t="s">
        <v>15</v>
      </c>
      <c r="G38" s="21" t="s">
        <v>15</v>
      </c>
      <c r="H38" s="21" t="s">
        <v>15</v>
      </c>
      <c r="I38" s="21" t="s">
        <v>15</v>
      </c>
      <c r="J38" s="20" t="s">
        <v>125</v>
      </c>
    </row>
    <row r="39" customFormat="false" ht="15" hidden="false" customHeight="false" outlineLevel="0" collapsed="false">
      <c r="A39" s="14" t="s">
        <v>126</v>
      </c>
      <c r="B39" s="14"/>
      <c r="C39" s="14"/>
      <c r="D39" s="14"/>
      <c r="E39" s="14"/>
      <c r="F39" s="14"/>
      <c r="G39" s="14"/>
      <c r="H39" s="14"/>
      <c r="I39" s="14"/>
      <c r="J39" s="14"/>
    </row>
    <row r="40" customFormat="false" ht="30" hidden="false" customHeight="true" outlineLevel="0" collapsed="false">
      <c r="A40" s="15" t="s">
        <v>127</v>
      </c>
      <c r="B40" s="16" t="s">
        <v>128</v>
      </c>
      <c r="C40" s="18" t="s">
        <v>13</v>
      </c>
      <c r="D40" s="18" t="s">
        <v>13</v>
      </c>
      <c r="E40" s="19" t="s">
        <v>11</v>
      </c>
      <c r="F40" s="19" t="s">
        <v>11</v>
      </c>
      <c r="G40" s="18" t="s">
        <v>13</v>
      </c>
      <c r="H40" s="19" t="s">
        <v>11</v>
      </c>
      <c r="I40" s="19" t="s">
        <v>11</v>
      </c>
      <c r="J40" s="20" t="s">
        <v>129</v>
      </c>
    </row>
    <row r="41" customFormat="false" ht="30" hidden="false" customHeight="true" outlineLevel="0" collapsed="false">
      <c r="A41" s="15" t="s">
        <v>130</v>
      </c>
      <c r="B41" s="16" t="s">
        <v>131</v>
      </c>
      <c r="C41" s="18" t="s">
        <v>13</v>
      </c>
      <c r="D41" s="18" t="s">
        <v>13</v>
      </c>
      <c r="E41" s="17" t="s">
        <v>9</v>
      </c>
      <c r="F41" s="18" t="s">
        <v>13</v>
      </c>
      <c r="G41" s="18" t="s">
        <v>13</v>
      </c>
      <c r="H41" s="18" t="s">
        <v>13</v>
      </c>
      <c r="I41" s="17" t="s">
        <v>9</v>
      </c>
      <c r="J41" s="20" t="s">
        <v>132</v>
      </c>
    </row>
    <row r="42" customFormat="false" ht="30" hidden="false" customHeight="true" outlineLevel="0" collapsed="false">
      <c r="A42" s="15" t="s">
        <v>133</v>
      </c>
      <c r="B42" s="16" t="s">
        <v>134</v>
      </c>
      <c r="C42" s="18" t="s">
        <v>13</v>
      </c>
      <c r="D42" s="18" t="s">
        <v>13</v>
      </c>
      <c r="E42" s="19" t="s">
        <v>11</v>
      </c>
      <c r="F42" s="19" t="s">
        <v>11</v>
      </c>
      <c r="G42" s="18" t="s">
        <v>13</v>
      </c>
      <c r="H42" s="18" t="s">
        <v>13</v>
      </c>
      <c r="I42" s="18" t="s">
        <v>13</v>
      </c>
      <c r="J42" s="20" t="s">
        <v>135</v>
      </c>
    </row>
    <row r="43" customFormat="false" ht="30" hidden="false" customHeight="true" outlineLevel="0" collapsed="false">
      <c r="A43" s="15" t="s">
        <v>136</v>
      </c>
      <c r="B43" s="16" t="s">
        <v>137</v>
      </c>
      <c r="C43" s="18" t="s">
        <v>13</v>
      </c>
      <c r="D43" s="18" t="s">
        <v>13</v>
      </c>
      <c r="E43" s="19" t="s">
        <v>11</v>
      </c>
      <c r="F43" s="19" t="s">
        <v>11</v>
      </c>
      <c r="G43" s="19" t="s">
        <v>11</v>
      </c>
      <c r="H43" s="18" t="s">
        <v>13</v>
      </c>
      <c r="I43" s="19" t="s">
        <v>11</v>
      </c>
      <c r="J43" s="20" t="s">
        <v>138</v>
      </c>
    </row>
    <row r="45" customFormat="false" ht="15" hidden="false" customHeight="false" outlineLevel="0" collapsed="false">
      <c r="B45" s="5" t="s">
        <v>139</v>
      </c>
    </row>
    <row r="46" customFormat="false" ht="15" hidden="false" customHeight="false" outlineLevel="0" collapsed="false">
      <c r="B46" s="22" t="s">
        <v>140</v>
      </c>
      <c r="C46" s="23" t="n">
        <f aca="false">COUNTIF(C4:C43,"Full")</f>
        <v>3</v>
      </c>
      <c r="D46" s="23" t="n">
        <f aca="false">COUNTIF(D4:D43,"Full")</f>
        <v>2</v>
      </c>
      <c r="E46" s="23" t="n">
        <f aca="false">COUNTIF(E4:E43,"Full")</f>
        <v>11</v>
      </c>
      <c r="F46" s="23" t="n">
        <f aca="false">COUNTIF(F4:F43,"Full")</f>
        <v>3</v>
      </c>
      <c r="G46" s="23" t="n">
        <f aca="false">COUNTIF(G4:G43,"Full")</f>
        <v>2</v>
      </c>
      <c r="H46" s="23" t="n">
        <f aca="false">COUNTIF(H4:H43,"Full")</f>
        <v>1</v>
      </c>
      <c r="I46" s="23" t="n">
        <f aca="false">COUNTIF(I4:I43,"Full")</f>
        <v>3</v>
      </c>
    </row>
    <row r="47" customFormat="false" ht="15" hidden="false" customHeight="false" outlineLevel="0" collapsed="false">
      <c r="B47" s="22" t="s">
        <v>141</v>
      </c>
      <c r="C47" s="23" t="n">
        <f aca="false">COUNTIF(C4:C43,"Partial")</f>
        <v>12</v>
      </c>
      <c r="D47" s="23" t="n">
        <f aca="false">COUNTIF(D4:D43,"Partial")</f>
        <v>12</v>
      </c>
      <c r="E47" s="23" t="n">
        <f aca="false">COUNTIF(E4:E43,"Partial")</f>
        <v>10</v>
      </c>
      <c r="F47" s="23" t="n">
        <f aca="false">COUNTIF(F4:F43,"Partial")</f>
        <v>11</v>
      </c>
      <c r="G47" s="23" t="n">
        <f aca="false">COUNTIF(G4:G43,"Partial")</f>
        <v>11</v>
      </c>
      <c r="H47" s="23" t="n">
        <f aca="false">COUNTIF(H4:H43,"Partial")</f>
        <v>11</v>
      </c>
      <c r="I47" s="23" t="n">
        <f aca="false">COUNTIF(I4:I43,"Partial")</f>
        <v>10</v>
      </c>
    </row>
    <row r="48" customFormat="false" ht="15" hidden="false" customHeight="false" outlineLevel="0" collapsed="false">
      <c r="B48" s="22" t="s">
        <v>142</v>
      </c>
      <c r="C48" s="23" t="n">
        <f aca="false">COUNTIF(C4:C43,"None")</f>
        <v>13</v>
      </c>
      <c r="D48" s="23" t="n">
        <f aca="false">COUNTIF(D4:D43,"None")</f>
        <v>14</v>
      </c>
      <c r="E48" s="23" t="n">
        <f aca="false">COUNTIF(E4:E43,"None")</f>
        <v>7</v>
      </c>
      <c r="F48" s="23" t="n">
        <f aca="false">COUNTIF(F4:F43,"None")</f>
        <v>14</v>
      </c>
      <c r="G48" s="23" t="n">
        <f aca="false">COUNTIF(G4:G43,"None")</f>
        <v>15</v>
      </c>
      <c r="H48" s="23" t="n">
        <f aca="false">COUNTIF(H4:H43,"None")</f>
        <v>16</v>
      </c>
      <c r="I48" s="23" t="n">
        <f aca="false">COUNTIF(I4:I43,"None")</f>
        <v>15</v>
      </c>
    </row>
    <row r="49" customFormat="false" ht="15" hidden="false" customHeight="false" outlineLevel="0" collapsed="false">
      <c r="B49" s="22" t="s">
        <v>143</v>
      </c>
      <c r="C49" s="23" t="n">
        <f aca="false">COUNTIF(C4:C43,"N/A")</f>
        <v>4</v>
      </c>
      <c r="D49" s="23" t="n">
        <f aca="false">COUNTIF(D4:D43,"N/A")</f>
        <v>4</v>
      </c>
      <c r="E49" s="23" t="n">
        <f aca="false">COUNTIF(E4:E43,"N/A")</f>
        <v>4</v>
      </c>
      <c r="F49" s="23" t="n">
        <f aca="false">COUNTIF(F4:F43,"N/A")</f>
        <v>4</v>
      </c>
      <c r="G49" s="23" t="n">
        <f aca="false">COUNTIF(G4:G43,"N/A")</f>
        <v>4</v>
      </c>
      <c r="H49" s="23" t="n">
        <f aca="false">COUNTIF(H4:H43,"N/A")</f>
        <v>4</v>
      </c>
      <c r="I49" s="23" t="n">
        <f aca="false">COUNTIF(I4:I43,"N/A")</f>
        <v>4</v>
      </c>
    </row>
    <row r="50" customFormat="false" ht="15" hidden="false" customHeight="false" outlineLevel="0" collapsed="false">
      <c r="B50" s="24" t="s">
        <v>17</v>
      </c>
      <c r="C50" s="25" t="n">
        <f aca="false">(COUNTIF(C4:C43,"Full")+0.5*COUNTIF(C4:C43,"Partial"))/(COUNTIF(C4:C43,"Full")+COUNTIF(C4:C43,"Partial")+COUNTIF(C4:C43,"None"))</f>
        <v>0.321428571428571</v>
      </c>
      <c r="D50" s="25" t="n">
        <f aca="false">(COUNTIF(D4:D43,"Full")+0.5*COUNTIF(D4:D43,"Partial"))/(COUNTIF(D4:D43,"Full")+COUNTIF(D4:D43,"Partial")+COUNTIF(D4:D43,"None"))</f>
        <v>0.285714285714286</v>
      </c>
      <c r="E50" s="25" t="n">
        <f aca="false">(COUNTIF(E4:E43,"Full")+0.5*COUNTIF(E4:E43,"Partial"))/(COUNTIF(E4:E43,"Full")+COUNTIF(E4:E43,"Partial")+COUNTIF(E4:E43,"None"))</f>
        <v>0.571428571428571</v>
      </c>
      <c r="F50" s="25" t="n">
        <f aca="false">(COUNTIF(F4:F43,"Full")+0.5*COUNTIF(F4:F43,"Partial"))/(COUNTIF(F4:F43,"Full")+COUNTIF(F4:F43,"Partial")+COUNTIF(F4:F43,"None"))</f>
        <v>0.303571428571429</v>
      </c>
      <c r="G50" s="25" t="n">
        <f aca="false">(COUNTIF(G4:G43,"Full")+0.5*COUNTIF(G4:G43,"Partial"))/(COUNTIF(G4:G43,"Full")+COUNTIF(G4:G43,"Partial")+COUNTIF(G4:G43,"None"))</f>
        <v>0.267857142857143</v>
      </c>
      <c r="H50" s="25" t="n">
        <f aca="false">(COUNTIF(H4:H43,"Full")+0.5*COUNTIF(H4:H43,"Partial"))/(COUNTIF(H4:H43,"Full")+COUNTIF(H4:H43,"Partial")+COUNTIF(H4:H43,"None"))</f>
        <v>0.232142857142857</v>
      </c>
      <c r="I50" s="25" t="n">
        <f aca="false">(COUNTIF(I4:I43,"Full")+0.5*COUNTIF(I4:I43,"Partial"))/(COUNTIF(I4:I43,"Full")+COUNTIF(I4:I43,"Partial")+COUNTIF(I4:I43,"None"))</f>
        <v>0.285714285714286</v>
      </c>
    </row>
  </sheetData>
  <mergeCells count="10">
    <mergeCell ref="A1:K1"/>
    <mergeCell ref="A3:J3"/>
    <mergeCell ref="A7:J7"/>
    <mergeCell ref="A11:J11"/>
    <mergeCell ref="A15:J15"/>
    <mergeCell ref="A18:J18"/>
    <mergeCell ref="A21:J21"/>
    <mergeCell ref="A26:J26"/>
    <mergeCell ref="A31:J31"/>
    <mergeCell ref="A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2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26" t="s">
        <v>144</v>
      </c>
    </row>
    <row r="2" customFormat="false" ht="19.5" hidden="false" customHeight="true" outlineLevel="0" collapsed="false">
      <c r="A2" s="13" t="s">
        <v>145</v>
      </c>
      <c r="B2" s="13" t="s">
        <v>146</v>
      </c>
      <c r="C2" s="13" t="s">
        <v>147</v>
      </c>
      <c r="D2" s="13" t="s">
        <v>148</v>
      </c>
    </row>
    <row r="3" customFormat="false" ht="91.5" hidden="false" customHeight="true" outlineLevel="0" collapsed="false">
      <c r="A3" s="27" t="s">
        <v>149</v>
      </c>
      <c r="B3" s="28" t="s">
        <v>150</v>
      </c>
      <c r="C3" s="29" t="s">
        <v>151</v>
      </c>
      <c r="D3" s="30" t="s">
        <v>152</v>
      </c>
    </row>
    <row r="4" customFormat="false" ht="91.5" hidden="false" customHeight="true" outlineLevel="0" collapsed="false">
      <c r="A4" s="27" t="s">
        <v>153</v>
      </c>
      <c r="B4" s="28" t="s">
        <v>154</v>
      </c>
      <c r="C4" s="29" t="s">
        <v>155</v>
      </c>
      <c r="D4" s="30" t="s">
        <v>156</v>
      </c>
    </row>
    <row r="5" customFormat="false" ht="91.5" hidden="false" customHeight="true" outlineLevel="0" collapsed="false">
      <c r="A5" s="27" t="s">
        <v>28</v>
      </c>
      <c r="B5" s="28" t="s">
        <v>157</v>
      </c>
      <c r="C5" s="29" t="s">
        <v>158</v>
      </c>
      <c r="D5" s="30" t="s">
        <v>159</v>
      </c>
    </row>
    <row r="6" customFormat="false" ht="91.5" hidden="false" customHeight="true" outlineLevel="0" collapsed="false">
      <c r="A6" s="27" t="s">
        <v>29</v>
      </c>
      <c r="B6" s="28" t="s">
        <v>160</v>
      </c>
      <c r="C6" s="29" t="s">
        <v>161</v>
      </c>
      <c r="D6" s="30" t="s">
        <v>162</v>
      </c>
    </row>
    <row r="7" customFormat="false" ht="91.5" hidden="false" customHeight="true" outlineLevel="0" collapsed="false">
      <c r="A7" s="27" t="s">
        <v>30</v>
      </c>
      <c r="B7" s="28" t="s">
        <v>163</v>
      </c>
      <c r="C7" s="29" t="s">
        <v>164</v>
      </c>
      <c r="D7" s="30" t="s">
        <v>165</v>
      </c>
    </row>
    <row r="8" customFormat="false" ht="91.5" hidden="false" customHeight="true" outlineLevel="0" collapsed="false">
      <c r="A8" s="27" t="s">
        <v>31</v>
      </c>
      <c r="B8" s="28" t="s">
        <v>166</v>
      </c>
      <c r="C8" s="29" t="s">
        <v>167</v>
      </c>
      <c r="D8" s="30" t="s">
        <v>168</v>
      </c>
    </row>
    <row r="9" customFormat="false" ht="91.5" hidden="false" customHeight="true" outlineLevel="0" collapsed="false">
      <c r="A9" s="27" t="s">
        <v>32</v>
      </c>
      <c r="B9" s="28" t="s">
        <v>169</v>
      </c>
      <c r="C9" s="29" t="s">
        <v>170</v>
      </c>
      <c r="D9" s="30" t="s">
        <v>171</v>
      </c>
    </row>
    <row r="11" customFormat="false" ht="60" hidden="false" customHeight="true" outlineLevel="0" collapsed="false">
      <c r="A11" s="31" t="s">
        <v>172</v>
      </c>
      <c r="B11" s="31"/>
      <c r="C11" s="31"/>
      <c r="D11" s="31"/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2026-09-14T09:45:31Z</dcterms:created>
  <dc:creator>openpyxl</dc:creator>
  <dc:description/>
  <dc:language>en-US</dc:language>
  <cp:lastModifiedBy/>
  <dcterms:modified xsi:type="dcterms:W3CDTF">2026-09-14T09:45:31Z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